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/>
  <mc:AlternateContent xmlns:mc="http://schemas.openxmlformats.org/markup-compatibility/2006">
    <mc:Choice Requires="x15">
      <x15ac:absPath xmlns:x15ac="http://schemas.microsoft.com/office/spreadsheetml/2010/11/ac" url="C:\Users\DELL\Downloads\cua-hang-vat-tu\data\template\"/>
    </mc:Choice>
  </mc:AlternateContent>
  <xr:revisionPtr revIDLastSave="0" documentId="13_ncr:1_{42BF7995-7F06-43EC-93D4-6998A85EC0BD}" xr6:coauthVersionLast="47" xr6:coauthVersionMax="47" xr10:uidLastSave="{00000000-0000-0000-0000-000000000000}"/>
  <bookViews>
    <workbookView xWindow="3012" yWindow="3228" windowWidth="17280" windowHeight="8880" tabRatio="500" xr2:uid="{00000000-000D-0000-FFFF-FFFF00000000}"/>
  </bookViews>
  <sheets>
    <sheet name="Nhap kho" sheetId="1" r:id="rId1"/>
    <sheet name="StockCodes" sheetId="2" state="hidden" r:id="rId2"/>
  </sheets>
  <definedNames>
    <definedName name="SAVoucher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10" i="1" l="1"/>
  <c r="V9" i="1"/>
  <c r="U11" i="1"/>
  <c r="S11" i="1"/>
  <c r="V11" i="1" s="1"/>
  <c r="Q11" i="1"/>
  <c r="U10" i="1"/>
  <c r="S10" i="1"/>
  <c r="Q10" i="1"/>
  <c r="U9" i="1"/>
  <c r="S9" i="1"/>
  <c r="Q9" i="1"/>
</calcChain>
</file>

<file path=xl/sharedStrings.xml><?xml version="1.0" encoding="utf-8"?>
<sst xmlns="http://schemas.openxmlformats.org/spreadsheetml/2006/main" count="65" uniqueCount="48">
  <si>
    <t>FILE MẪU PHIẾU NHẬP KHO ĐỂ NHẬP VÀO PHẦN MỀM MISA eShop</t>
  </si>
  <si>
    <t>Hướng dẫn:</t>
  </si>
  <si>
    <t>- Điền dữ liệu vào các cột tương ứng trên file này. Lưu ý thông tin % chiết khấu, Tiền chiết khấu, Thuế suất, Tiền thuế chỉ đáp ứng với Loại nhập kho mua hàng</t>
  </si>
  <si>
    <t>- Các cột có dấu (*) là những cột bắt buộc</t>
  </si>
  <si>
    <r>
      <rPr>
        <sz val="12"/>
        <color indexed="8"/>
        <rFont val="Times New Roman"/>
        <family val="1"/>
      </rPr>
      <t xml:space="preserve">- Các dòng dữ liệu có cùng </t>
    </r>
    <r>
      <rPr>
        <b/>
        <sz val="12"/>
        <color indexed="8"/>
        <rFont val="Times New Roman"/>
        <family val="1"/>
      </rPr>
      <t>Số chứng từ</t>
    </r>
    <r>
      <rPr>
        <sz val="12"/>
        <color indexed="8"/>
        <rFont val="Times New Roman"/>
        <family val="1"/>
      </rPr>
      <t xml:space="preserve"> thì các thông tin </t>
    </r>
    <r>
      <rPr>
        <b/>
        <sz val="12"/>
        <color indexed="8"/>
        <rFont val="Times New Roman"/>
        <family val="1"/>
      </rPr>
      <t>Loại nhập kho, Ngày chứng từ, Mã đối tượng, Tên đối tượng, Diễn giải, Hình thức thanh toán</t>
    </r>
    <r>
      <rPr>
        <sz val="12"/>
        <color indexed="8"/>
        <rFont val="Times New Roman"/>
        <family val="1"/>
      </rPr>
      <t xml:space="preserve"> phải giống nhau</t>
    </r>
  </si>
  <si>
    <t>- Các dòng dữ liệu phía dưới chỉ là ví dụ minh họa</t>
  </si>
  <si>
    <t>Chi tiết hàng tiền</t>
  </si>
  <si>
    <t>Loại nhập kho</t>
  </si>
  <si>
    <r>
      <rPr>
        <b/>
        <sz val="12"/>
        <rFont val="Times New Roman"/>
        <family val="1"/>
      </rPr>
      <t xml:space="preserve">Ngày chứng từ </t>
    </r>
    <r>
      <rPr>
        <b/>
        <sz val="12"/>
        <color indexed="10"/>
        <rFont val="Times New Roman"/>
        <family val="1"/>
      </rPr>
      <t>(*)</t>
    </r>
  </si>
  <si>
    <r>
      <rPr>
        <b/>
        <sz val="12"/>
        <rFont val="Times New Roman"/>
        <family val="1"/>
      </rPr>
      <t xml:space="preserve">Số chứng từ </t>
    </r>
    <r>
      <rPr>
        <b/>
        <sz val="12"/>
        <color indexed="10"/>
        <rFont val="Times New Roman"/>
        <family val="1"/>
      </rPr>
      <t>(*)</t>
    </r>
  </si>
  <si>
    <t>Mã đối tượng</t>
  </si>
  <si>
    <t>Tên đối tượng</t>
  </si>
  <si>
    <t>Diễn giải</t>
  </si>
  <si>
    <t>Hình thức thanh toán</t>
  </si>
  <si>
    <r>
      <rPr>
        <b/>
        <sz val="12"/>
        <rFont val="Times New Roman"/>
        <family val="1"/>
      </rPr>
      <t xml:space="preserve">Mã hàng </t>
    </r>
    <r>
      <rPr>
        <b/>
        <sz val="12"/>
        <color indexed="10"/>
        <rFont val="Times New Roman"/>
        <family val="1"/>
      </rPr>
      <t>(*)</t>
    </r>
  </si>
  <si>
    <t>Tên hàng</t>
  </si>
  <si>
    <t>Số lô</t>
  </si>
  <si>
    <t>Hạn sử dụng</t>
  </si>
  <si>
    <r>
      <rPr>
        <b/>
        <sz val="12"/>
        <rFont val="Times New Roman"/>
        <family val="1"/>
      </rPr>
      <t>Mã kho</t>
    </r>
    <r>
      <rPr>
        <b/>
        <sz val="12"/>
        <color indexed="10"/>
        <rFont val="Times New Roman"/>
        <family val="1"/>
      </rPr>
      <t xml:space="preserve"> (*)</t>
    </r>
  </si>
  <si>
    <t>Mã vị trí lưu kho</t>
  </si>
  <si>
    <t>ĐVT</t>
  </si>
  <si>
    <r>
      <rPr>
        <b/>
        <sz val="12"/>
        <rFont val="Times New Roman"/>
        <family val="1"/>
      </rPr>
      <t xml:space="preserve">Số lượng </t>
    </r>
    <r>
      <rPr>
        <b/>
        <sz val="12"/>
        <color indexed="10"/>
        <rFont val="Times New Roman"/>
        <family val="1"/>
      </rPr>
      <t>(*)</t>
    </r>
  </si>
  <si>
    <t>Đơn giá</t>
  </si>
  <si>
    <t>Thành tiền</t>
  </si>
  <si>
    <t>% chiết khấu</t>
  </si>
  <si>
    <t>Tiền chiết khấu</t>
  </si>
  <si>
    <t>Thuế suất</t>
  </si>
  <si>
    <t>Tiền thuế</t>
  </si>
  <si>
    <t>Tiền thanh toán</t>
  </si>
  <si>
    <t>Nhập kho mua hàng</t>
  </si>
  <si>
    <t>31/01/2025</t>
  </si>
  <si>
    <t>NK0001</t>
  </si>
  <si>
    <t>VANLONG</t>
  </si>
  <si>
    <t>Công ty vật tư &amp; thiết bị giáo dục Vân Long</t>
  </si>
  <si>
    <t>Nhập kho mua hàng từ công ty Vân Long đợt 1 tháng 5/2025</t>
  </si>
  <si>
    <t>Tiền mặt</t>
  </si>
  <si>
    <t>SOMI_NAM_FREESZ</t>
  </si>
  <si>
    <t>Áo sơ mi nam</t>
  </si>
  <si>
    <t>Cái</t>
  </si>
  <si>
    <t>Nhập kho mua hàng từ công ty Vân Long đợt 1 tháng 5/2026</t>
  </si>
  <si>
    <t>AOPHONG_UNISEX_S</t>
  </si>
  <si>
    <t>Áo phông NY nam nữ_S</t>
  </si>
  <si>
    <t>KCT</t>
  </si>
  <si>
    <t>Nhập kho mua hàng từ công ty Vân Long đợt 1 tháng 5/2027</t>
  </si>
  <si>
    <t>AOPHONG_UNISEX_M</t>
  </si>
  <si>
    <t>Áo phông NY nam nữ_M</t>
  </si>
  <si>
    <t>KKKNT</t>
  </si>
  <si>
    <t>KHO001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</si>
</sst>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&quot;, &quot;mmmm\ dd&quot;, &quot;yyyy"/>
  </numFmts>
  <fonts count="6" x14ac:knownFonts="1">
    <font>
      <sz val="11"/>
      <color indexed="8"/>
      <name val="Calibri"/>
      <family val="2"/>
    </font>
    <font>
      <b/>
      <sz val="16"/>
      <color indexed="8"/>
      <name val="Times New Roman"/>
      <family val="1"/>
    </font>
    <font>
      <b/>
      <sz val="12"/>
      <color indexed="10"/>
      <name val="Times New Roman"/>
      <family val="1"/>
    </font>
    <font>
      <sz val="12"/>
      <color indexed="8"/>
      <name val="Times New Roman"/>
      <family val="1"/>
    </font>
    <font>
      <b/>
      <sz val="12"/>
      <color indexed="8"/>
      <name val="Times New Roman"/>
      <family val="1"/>
    </font>
    <font>
      <b/>
      <sz val="12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7"/>
        <bgColor indexed="64"/>
      </patternFill>
    </fill>
  </fills>
  <borders count="3">
    <border>
      <left/>
      <right/>
      <top/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42">
    <xf numFmtId="0" fontId="0" fillId="0" borderId="0" xfId="0" applyAlignment="1"/>
    <xf numFmtId="0" fontId="0" fillId="0" borderId="0" xfId="0" applyNumberFormat="1" applyAlignment="1"/>
    <xf numFmtId="49" fontId="0" fillId="0" borderId="0" xfId="0" applyNumberFormat="1" applyAlignment="1"/>
    <xf numFmtId="0" fontId="0" fillId="0" borderId="0" xfId="0" applyAlignment="1">
      <alignment vertical="center"/>
    </xf>
    <xf numFmtId="49" fontId="0" fillId="0" borderId="0" xfId="0" applyNumberFormat="1" applyAlignment="1">
      <alignment vertical="center"/>
    </xf>
    <xf numFmtId="0" fontId="0" fillId="0" borderId="0" xfId="0" applyAlignment="1"/>
    <xf numFmtId="1" fontId="0" fillId="0" borderId="0" xfId="0" applyNumberFormat="1" applyAlignment="1">
      <alignment vertical="center"/>
    </xf>
    <xf numFmtId="10" fontId="0" fillId="0" borderId="0" xfId="0" applyNumberFormat="1" applyAlignment="1"/>
    <xf numFmtId="0" fontId="0" fillId="0" borderId="0" xfId="0" applyAlignment="1">
      <alignment horizontal="right"/>
    </xf>
    <xf numFmtId="0" fontId="1" fillId="2" borderId="0" xfId="0" applyNumberFormat="1" applyFont="1" applyFill="1" applyBorder="1" applyAlignment="1">
      <alignment horizontal="left" vertical="center"/>
    </xf>
    <xf numFmtId="49" fontId="1" fillId="2" borderId="0" xfId="0" applyNumberFormat="1" applyFont="1" applyFill="1" applyBorder="1" applyAlignment="1">
      <alignment horizontal="left" vertical="center"/>
    </xf>
    <xf numFmtId="164" fontId="1" fillId="2" borderId="0" xfId="0" applyNumberFormat="1" applyFont="1" applyFill="1" applyBorder="1" applyAlignment="1">
      <alignment horizontal="left" vertical="center"/>
    </xf>
    <xf numFmtId="164" fontId="1" fillId="0" borderId="0" xfId="0" applyNumberFormat="1" applyFont="1" applyFill="1" applyBorder="1" applyAlignment="1">
      <alignment horizontal="left" vertical="center"/>
    </xf>
    <xf numFmtId="49" fontId="1" fillId="0" borderId="0" xfId="0" applyNumberFormat="1" applyFont="1" applyFill="1" applyBorder="1" applyAlignment="1">
      <alignment horizontal="left" vertical="center"/>
    </xf>
    <xf numFmtId="0" fontId="2" fillId="2" borderId="0" xfId="0" applyNumberFormat="1" applyFont="1" applyFill="1" applyBorder="1" applyAlignment="1">
      <alignment horizontal="left" vertical="center"/>
    </xf>
    <xf numFmtId="49" fontId="2" fillId="2" borderId="0" xfId="0" applyNumberFormat="1" applyFont="1" applyFill="1" applyBorder="1" applyAlignment="1">
      <alignment horizontal="left" vertical="center"/>
    </xf>
    <xf numFmtId="164" fontId="2" fillId="2" borderId="0" xfId="0" applyNumberFormat="1" applyFont="1" applyFill="1" applyBorder="1" applyAlignment="1">
      <alignment horizontal="left" vertical="center"/>
    </xf>
    <xf numFmtId="164" fontId="3" fillId="0" borderId="0" xfId="0" applyNumberFormat="1" applyFont="1" applyFill="1" applyBorder="1" applyAlignment="1">
      <alignment horizontal="left" vertical="center"/>
    </xf>
    <xf numFmtId="49" fontId="3" fillId="0" borderId="0" xfId="0" applyNumberFormat="1" applyFont="1" applyFill="1" applyBorder="1" applyAlignment="1">
      <alignment horizontal="left" vertical="center"/>
    </xf>
    <xf numFmtId="0" fontId="3" fillId="2" borderId="0" xfId="0" applyNumberFormat="1" applyFont="1" applyFill="1" applyBorder="1" applyAlignment="1">
      <alignment horizontal="left" vertical="center"/>
    </xf>
    <xf numFmtId="49" fontId="3" fillId="2" borderId="0" xfId="0" applyNumberFormat="1" applyFont="1" applyFill="1" applyBorder="1" applyAlignment="1">
      <alignment horizontal="left" vertical="center"/>
    </xf>
    <xf numFmtId="164" fontId="3" fillId="2" borderId="0" xfId="0" applyNumberFormat="1" applyFont="1" applyFill="1" applyBorder="1" applyAlignment="1">
      <alignment horizontal="left" vertical="center"/>
    </xf>
    <xf numFmtId="164" fontId="0" fillId="0" borderId="0" xfId="0" applyNumberFormat="1" applyAlignment="1"/>
    <xf numFmtId="0" fontId="5" fillId="4" borderId="2" xfId="0" applyNumberFormat="1" applyFont="1" applyFill="1" applyBorder="1" applyAlignment="1" applyProtection="1">
      <alignment horizontal="center" vertical="center" wrapText="1"/>
      <protection hidden="1"/>
    </xf>
    <xf numFmtId="164" fontId="5" fillId="4" borderId="2" xfId="0" applyNumberFormat="1" applyFont="1" applyFill="1" applyBorder="1" applyAlignment="1" applyProtection="1">
      <alignment horizontal="center" vertical="center" wrapText="1"/>
      <protection hidden="1"/>
    </xf>
    <xf numFmtId="49" fontId="5" fillId="4" borderId="2" xfId="0" applyNumberFormat="1" applyFont="1" applyFill="1" applyBorder="1" applyAlignment="1" applyProtection="1">
      <alignment horizontal="center" vertical="center" wrapText="1"/>
      <protection hidden="1"/>
    </xf>
    <xf numFmtId="49" fontId="5" fillId="3" borderId="2" xfId="0" applyNumberFormat="1" applyFont="1" applyFill="1" applyBorder="1" applyAlignment="1" applyProtection="1">
      <alignment horizontal="center" vertical="center" wrapText="1"/>
      <protection hidden="1"/>
    </xf>
    <xf numFmtId="1" fontId="5" fillId="3" borderId="2" xfId="0" applyNumberFormat="1" applyFont="1" applyFill="1" applyBorder="1" applyAlignment="1" applyProtection="1">
      <alignment horizontal="center" vertical="center" wrapText="1"/>
      <protection hidden="1"/>
    </xf>
    <xf numFmtId="0" fontId="0" fillId="0" borderId="0" xfId="0" applyAlignment="1">
      <alignment wrapText="1"/>
    </xf>
    <xf numFmtId="0" fontId="0" fillId="0" borderId="0" xfId="0" applyNumberFormat="1" applyFont="1" applyAlignment="1">
      <alignment vertical="center" wrapText="1"/>
    </xf>
    <xf numFmtId="49" fontId="0" fillId="0" borderId="0" xfId="0" applyNumberFormat="1" applyFont="1" applyAlignment="1">
      <alignment vertical="center" wrapText="1"/>
    </xf>
    <xf numFmtId="0" fontId="0" fillId="0" borderId="0" xfId="0" applyFont="1" applyAlignment="1">
      <alignment vertical="center" wrapText="1"/>
    </xf>
    <xf numFmtId="1" fontId="0" fillId="0" borderId="0" xfId="0" applyNumberFormat="1" applyAlignment="1">
      <alignment vertical="center" wrapText="1"/>
    </xf>
    <xf numFmtId="3" fontId="0" fillId="0" borderId="0" xfId="0" applyNumberFormat="1" applyAlignment="1">
      <alignment vertical="center" wrapText="1"/>
    </xf>
    <xf numFmtId="10" fontId="0" fillId="0" borderId="0" xfId="0" applyNumberFormat="1" applyAlignment="1">
      <alignment vertical="center" wrapText="1"/>
    </xf>
    <xf numFmtId="4" fontId="0" fillId="0" borderId="0" xfId="0" applyNumberFormat="1" applyAlignment="1">
      <alignment vertical="center" wrapText="1"/>
    </xf>
    <xf numFmtId="9" fontId="0" fillId="0" borderId="0" xfId="0" applyNumberFormat="1" applyAlignment="1">
      <alignment horizontal="right" vertical="center" wrapText="1"/>
    </xf>
    <xf numFmtId="0" fontId="0" fillId="0" borderId="0" xfId="0" applyFont="1" applyAlignment="1">
      <alignment horizontal="right" vertical="center" wrapText="1"/>
    </xf>
    <xf numFmtId="0" fontId="0" fillId="0" borderId="0" xfId="0" applyNumberFormat="1" applyFont="1" applyAlignment="1">
      <alignment horizontal="left" vertical="center" wrapText="1"/>
    </xf>
    <xf numFmtId="9" fontId="0" fillId="0" borderId="0" xfId="0" applyNumberFormat="1" applyAlignment="1">
      <alignment horizontal="right" wrapText="1"/>
    </xf>
    <xf numFmtId="0" fontId="0" fillId="0" borderId="0" xfId="0" applyNumberFormat="1" applyAlignment="1">
      <alignment horizontal="left" vertical="center"/>
    </xf>
    <xf numFmtId="49" fontId="5" fillId="3" borderId="1" xfId="0" applyNumberFormat="1" applyFont="1" applyFill="1" applyBorder="1" applyAlignment="1" applyProtection="1">
      <alignment horizontal="center" vertical="center" wrapText="1"/>
      <protection hidden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F6B4D3-3154-423A-8B7C-E2E9EC7EFB12}">
  <dimension ref="A1:V16"/>
  <sheetViews>
    <sheetView tabSelected="1" topLeftCell="A5" workbookViewId="0">
      <selection activeCell="E9" sqref="E9"/>
    </sheetView>
  </sheetViews>
  <sheetFormatPr defaultRowHeight="14.4" x14ac:dyDescent="0.3"/>
  <cols>
    <col min="1" max="1" width="23.6640625" style="1"/>
    <col min="2" max="2" width="43.109375" style="2"/>
    <col min="3" max="3" width="18.77734375" style="2"/>
    <col min="4" max="4" width="18.77734375" style="3"/>
    <col min="5" max="5" width="23.6640625" style="3"/>
    <col min="6" max="6" width="22.109375" style="4"/>
    <col min="7" max="7" width="17.109375" style="5"/>
    <col min="8" max="9" width="17.109375" style="4"/>
    <col min="10" max="11" width="17.109375" style="4" hidden="1" customWidth="1"/>
    <col min="12" max="13" width="14.77734375" style="4"/>
    <col min="14" max="14" width="17.109375" style="4"/>
    <col min="15" max="16" width="17.109375" style="6"/>
    <col min="17" max="17" width="17.33203125" style="6"/>
    <col min="18" max="18" width="17.6640625" style="7"/>
    <col min="19" max="19" width="18.21875"/>
    <col min="20" max="20" width="16.6640625" style="8"/>
    <col min="21" max="21" width="20.88671875"/>
    <col min="22" max="22" width="20"/>
  </cols>
  <sheetData>
    <row r="1" spans="1:22" ht="20.399999999999999" x14ac:dyDescent="0.3">
      <c r="A1" s="9" t="s">
        <v>0</v>
      </c>
      <c r="B1" s="9"/>
      <c r="C1" s="10"/>
      <c r="D1" s="11"/>
      <c r="E1" s="11"/>
      <c r="F1" s="9"/>
      <c r="G1" s="9"/>
      <c r="H1" s="9"/>
      <c r="I1" s="12"/>
      <c r="J1" s="12"/>
      <c r="K1" s="12"/>
      <c r="L1" s="13"/>
      <c r="M1" s="13"/>
      <c r="N1" s="13"/>
      <c r="O1" s="13"/>
      <c r="P1" s="13"/>
      <c r="Q1" s="13"/>
      <c r="R1"/>
    </row>
    <row r="2" spans="1:22" ht="18.600000000000001" customHeight="1" x14ac:dyDescent="0.3">
      <c r="A2" s="14" t="s">
        <v>1</v>
      </c>
      <c r="B2" s="14"/>
      <c r="C2" s="15"/>
      <c r="D2" s="16"/>
      <c r="E2" s="16"/>
      <c r="F2" s="9"/>
      <c r="G2" s="9"/>
      <c r="H2" s="9"/>
      <c r="I2" s="17"/>
      <c r="J2" s="17"/>
      <c r="K2" s="17"/>
      <c r="L2" s="18"/>
      <c r="M2" s="18"/>
      <c r="N2" s="18"/>
      <c r="O2" s="18"/>
      <c r="P2" s="18"/>
      <c r="Q2" s="18"/>
      <c r="R2"/>
    </row>
    <row r="3" spans="1:22" ht="18.600000000000001" customHeight="1" x14ac:dyDescent="0.3">
      <c r="A3" s="19" t="s">
        <v>2</v>
      </c>
      <c r="B3" s="19"/>
      <c r="C3" s="20"/>
      <c r="D3" s="21"/>
      <c r="E3" s="21"/>
      <c r="F3" s="9"/>
      <c r="G3" s="9"/>
      <c r="H3" s="9"/>
      <c r="I3" s="17"/>
      <c r="J3" s="17"/>
      <c r="K3" s="17"/>
      <c r="L3" s="18"/>
      <c r="M3" s="18"/>
      <c r="N3" s="18"/>
      <c r="O3" s="18"/>
      <c r="P3" s="18"/>
      <c r="Q3" s="18"/>
      <c r="R3"/>
    </row>
    <row r="4" spans="1:22" ht="18.600000000000001" customHeight="1" x14ac:dyDescent="0.3">
      <c r="A4" s="19" t="s">
        <v>3</v>
      </c>
      <c r="B4" s="19"/>
      <c r="C4" s="20"/>
      <c r="D4" s="21"/>
      <c r="E4" s="21"/>
      <c r="F4" s="9"/>
      <c r="G4" s="9"/>
      <c r="H4" s="9"/>
      <c r="I4" s="17"/>
      <c r="J4" s="17"/>
      <c r="K4" s="17"/>
      <c r="L4" s="18"/>
      <c r="M4" s="18"/>
      <c r="N4" s="18"/>
      <c r="O4" s="18"/>
      <c r="P4" s="18"/>
      <c r="Q4" s="18"/>
      <c r="R4"/>
    </row>
    <row r="5" spans="1:22" ht="18.600000000000001" customHeight="1" x14ac:dyDescent="0.3">
      <c r="A5" s="19" t="s">
        <v>4</v>
      </c>
      <c r="B5" s="19"/>
      <c r="C5" s="20"/>
      <c r="D5" s="21"/>
      <c r="E5" s="21"/>
      <c r="F5" s="9"/>
      <c r="G5" s="9"/>
      <c r="H5" s="9"/>
      <c r="I5" s="17"/>
      <c r="J5" s="17"/>
      <c r="K5" s="17"/>
      <c r="L5" s="18"/>
      <c r="M5" s="18"/>
      <c r="N5" s="18"/>
      <c r="O5" s="18"/>
      <c r="P5" s="18"/>
      <c r="Q5" s="18"/>
      <c r="R5"/>
    </row>
    <row r="6" spans="1:22" ht="18.600000000000001" customHeight="1" x14ac:dyDescent="0.3">
      <c r="A6" s="19" t="s">
        <v>5</v>
      </c>
      <c r="B6" s="19"/>
      <c r="C6" s="20"/>
      <c r="D6" s="21"/>
      <c r="E6" s="21"/>
      <c r="F6" s="9"/>
      <c r="G6" s="9"/>
      <c r="H6" s="9"/>
      <c r="I6" s="17"/>
      <c r="J6" s="17"/>
      <c r="K6" s="17"/>
      <c r="L6" s="18"/>
      <c r="M6" s="18"/>
      <c r="N6" s="18"/>
      <c r="O6" s="18"/>
      <c r="P6" s="18"/>
      <c r="Q6" s="18"/>
      <c r="R6"/>
    </row>
    <row r="7" spans="1:22" ht="15.75" customHeight="1" x14ac:dyDescent="0.3">
      <c r="B7" s="1"/>
      <c r="D7" s="22"/>
      <c r="E7" s="22"/>
      <c r="F7" s="5"/>
      <c r="G7" s="2"/>
      <c r="H7" s="41" t="s">
        <v>6</v>
      </c>
      <c r="I7" s="41"/>
      <c r="J7" s="41"/>
      <c r="K7" s="41"/>
      <c r="L7" s="41"/>
      <c r="M7" s="41"/>
      <c r="N7" s="41"/>
      <c r="O7" s="41"/>
      <c r="P7" s="41"/>
      <c r="Q7" s="41"/>
      <c r="R7" s="41"/>
      <c r="S7" s="41"/>
      <c r="T7" s="41"/>
      <c r="U7" s="41"/>
      <c r="V7" s="41"/>
    </row>
    <row r="8" spans="1:22" s="28" customFormat="1" ht="31.2" x14ac:dyDescent="0.3">
      <c r="A8" s="23" t="s">
        <v>7</v>
      </c>
      <c r="B8" s="24" t="s">
        <v>8</v>
      </c>
      <c r="C8" s="25" t="s">
        <v>9</v>
      </c>
      <c r="D8" s="25" t="s">
        <v>10</v>
      </c>
      <c r="E8" s="25" t="s">
        <v>11</v>
      </c>
      <c r="F8" s="25" t="s">
        <v>12</v>
      </c>
      <c r="G8" s="25" t="s">
        <v>13</v>
      </c>
      <c r="H8" s="26" t="s">
        <v>14</v>
      </c>
      <c r="I8" s="26" t="s">
        <v>15</v>
      </c>
      <c r="J8" s="26" t="s">
        <v>16</v>
      </c>
      <c r="K8" s="26" t="s">
        <v>17</v>
      </c>
      <c r="L8" s="26" t="s">
        <v>18</v>
      </c>
      <c r="M8" s="26" t="s">
        <v>19</v>
      </c>
      <c r="N8" s="26" t="s">
        <v>20</v>
      </c>
      <c r="O8" s="27" t="s">
        <v>21</v>
      </c>
      <c r="P8" s="27" t="s">
        <v>22</v>
      </c>
      <c r="Q8" s="27" t="s">
        <v>23</v>
      </c>
      <c r="R8" s="27" t="s">
        <v>24</v>
      </c>
      <c r="S8" s="27" t="s">
        <v>25</v>
      </c>
      <c r="T8" s="27" t="s">
        <v>26</v>
      </c>
      <c r="U8" s="27" t="s">
        <v>27</v>
      </c>
      <c r="V8" s="27" t="s">
        <v>28</v>
      </c>
    </row>
    <row r="9" spans="1:22" s="31" customFormat="1" ht="43.2" x14ac:dyDescent="0.3">
      <c r="A9" s="29" t="s">
        <v>29</v>
      </c>
      <c r="B9" s="30" t="s">
        <v>30</v>
      </c>
      <c r="C9" s="30" t="s">
        <v>31</v>
      </c>
      <c r="D9" s="31" t="s">
        <v>32</v>
      </c>
      <c r="E9" s="28" t="s">
        <v>33</v>
      </c>
      <c r="F9" s="30" t="s">
        <v>34</v>
      </c>
      <c r="G9" s="31" t="s">
        <v>35</v>
      </c>
      <c r="H9" s="30" t="s">
        <v>36</v>
      </c>
      <c r="I9" s="30" t="s">
        <v>37</v>
      </c>
      <c r="J9" s="30"/>
      <c r="K9" s="30"/>
      <c r="L9" s="30" t="s">
        <v>47</v>
      </c>
      <c r="M9" s="30"/>
      <c r="N9" s="30" t="s">
        <v>38</v>
      </c>
      <c r="O9" s="32">
        <v>20</v>
      </c>
      <c r="P9" s="33">
        <v>500000</v>
      </c>
      <c r="Q9" s="33">
        <f t="shared" ref="Q9:Q11" si="0">O9*P9</f>
        <v>10000000</v>
      </c>
      <c r="R9" s="34">
        <v>0.05</v>
      </c>
      <c r="S9" s="35">
        <f t="shared" ref="S9:S11" si="1">Q9*R9</f>
        <v>500000</v>
      </c>
      <c r="T9" s="36">
        <v>0</v>
      </c>
      <c r="U9" s="35">
        <f t="shared" ref="U9:U11" si="2">IF(OR(T9=0%,T9=5%,T9=8%,T9=10%),(Q9-S9)*T9,0)</f>
        <v>0</v>
      </c>
      <c r="V9" s="35">
        <f>Q9-S9+U9</f>
        <v>9500000</v>
      </c>
    </row>
    <row r="10" spans="1:22" s="31" customFormat="1" ht="43.2" x14ac:dyDescent="0.3">
      <c r="A10" s="29" t="s">
        <v>29</v>
      </c>
      <c r="B10" s="30" t="s">
        <v>30</v>
      </c>
      <c r="C10" s="30" t="s">
        <v>31</v>
      </c>
      <c r="D10" s="31" t="s">
        <v>32</v>
      </c>
      <c r="E10" s="28" t="s">
        <v>33</v>
      </c>
      <c r="F10" s="30" t="s">
        <v>39</v>
      </c>
      <c r="G10" s="31" t="s">
        <v>35</v>
      </c>
      <c r="H10" s="30" t="s">
        <v>40</v>
      </c>
      <c r="I10" s="30" t="s">
        <v>41</v>
      </c>
      <c r="J10" s="30"/>
      <c r="K10" s="30"/>
      <c r="L10" s="30" t="s">
        <v>47</v>
      </c>
      <c r="M10" s="30"/>
      <c r="N10" s="30" t="s">
        <v>38</v>
      </c>
      <c r="O10" s="32">
        <v>5</v>
      </c>
      <c r="P10" s="33">
        <v>250000</v>
      </c>
      <c r="Q10" s="33">
        <f t="shared" si="0"/>
        <v>1250000</v>
      </c>
      <c r="R10" s="34">
        <v>0.1</v>
      </c>
      <c r="S10" s="35">
        <f t="shared" si="1"/>
        <v>125000</v>
      </c>
      <c r="T10" s="37" t="s">
        <v>42</v>
      </c>
      <c r="U10" s="35">
        <f t="shared" si="2"/>
        <v>0</v>
      </c>
      <c r="V10" s="35">
        <f>Q10-S10+U10</f>
        <v>1125000</v>
      </c>
    </row>
    <row r="11" spans="1:22" s="31" customFormat="1" ht="43.2" x14ac:dyDescent="0.3">
      <c r="A11" s="29" t="s">
        <v>29</v>
      </c>
      <c r="B11" s="30" t="s">
        <v>30</v>
      </c>
      <c r="C11" s="30" t="s">
        <v>31</v>
      </c>
      <c r="D11" s="31" t="s">
        <v>32</v>
      </c>
      <c r="E11" s="28" t="s">
        <v>33</v>
      </c>
      <c r="F11" s="30" t="s">
        <v>43</v>
      </c>
      <c r="G11" s="31" t="s">
        <v>35</v>
      </c>
      <c r="H11" s="30" t="s">
        <v>44</v>
      </c>
      <c r="I11" s="30" t="s">
        <v>45</v>
      </c>
      <c r="J11" s="30"/>
      <c r="K11" s="30"/>
      <c r="L11" s="30" t="s">
        <v>47</v>
      </c>
      <c r="M11" s="30"/>
      <c r="N11" s="30" t="s">
        <v>38</v>
      </c>
      <c r="O11" s="32">
        <v>5</v>
      </c>
      <c r="P11" s="33">
        <v>250000</v>
      </c>
      <c r="Q11" s="33">
        <f t="shared" si="0"/>
        <v>1250000</v>
      </c>
      <c r="R11" s="34">
        <v>0.05</v>
      </c>
      <c r="S11" s="35">
        <f t="shared" si="1"/>
        <v>62500</v>
      </c>
      <c r="T11" s="36" t="s">
        <v>46</v>
      </c>
      <c r="U11" s="35">
        <f t="shared" si="2"/>
        <v>0</v>
      </c>
      <c r="V11" s="35">
        <f t="shared" ref="V9:V11" si="3">Q11-S11+U11</f>
        <v>1187500</v>
      </c>
    </row>
    <row r="12" spans="1:22" s="31" customFormat="1" x14ac:dyDescent="0.3">
      <c r="A12" s="29"/>
      <c r="B12" s="30"/>
      <c r="C12" s="30"/>
      <c r="E12" s="28"/>
      <c r="F12" s="30"/>
      <c r="H12" s="30"/>
      <c r="I12" s="30"/>
      <c r="J12" s="30"/>
      <c r="K12" s="30"/>
      <c r="L12" s="30"/>
      <c r="M12" s="30"/>
      <c r="N12" s="30"/>
      <c r="O12" s="32"/>
      <c r="P12" s="33"/>
      <c r="Q12" s="33"/>
      <c r="R12" s="34"/>
      <c r="S12" s="35"/>
      <c r="T12" s="36"/>
      <c r="U12" s="35"/>
      <c r="V12" s="35"/>
    </row>
    <row r="13" spans="1:22" s="31" customFormat="1" x14ac:dyDescent="0.3">
      <c r="A13" s="29"/>
      <c r="B13" s="30"/>
      <c r="C13" s="30"/>
      <c r="E13" s="28"/>
      <c r="F13" s="30"/>
      <c r="H13" s="30"/>
      <c r="I13" s="30"/>
      <c r="J13" s="30"/>
      <c r="K13" s="30"/>
      <c r="L13" s="30"/>
      <c r="M13" s="30"/>
      <c r="N13" s="30"/>
      <c r="O13" s="32"/>
      <c r="P13" s="33"/>
      <c r="Q13" s="33"/>
      <c r="R13" s="34"/>
      <c r="S13" s="35"/>
      <c r="T13" s="36"/>
      <c r="U13" s="35"/>
      <c r="V13" s="35"/>
    </row>
    <row r="14" spans="1:22" s="28" customFormat="1" x14ac:dyDescent="0.3">
      <c r="A14" s="38"/>
      <c r="B14" s="30"/>
      <c r="C14" s="30"/>
      <c r="D14" s="31"/>
      <c r="E14" s="31"/>
      <c r="F14" s="30"/>
      <c r="H14" s="30"/>
      <c r="I14" s="30"/>
      <c r="J14" s="30"/>
      <c r="K14" s="30"/>
      <c r="L14" s="30"/>
      <c r="M14" s="30"/>
      <c r="N14" s="30"/>
      <c r="O14" s="32"/>
      <c r="P14" s="32"/>
      <c r="Q14" s="33"/>
      <c r="R14" s="34"/>
      <c r="S14" s="35"/>
      <c r="T14" s="39"/>
      <c r="U14" s="35"/>
      <c r="V14" s="35"/>
    </row>
    <row r="15" spans="1:22" s="28" customFormat="1" x14ac:dyDescent="0.3">
      <c r="A15" s="38"/>
      <c r="B15" s="30"/>
      <c r="C15" s="30"/>
      <c r="D15" s="31"/>
      <c r="E15" s="31"/>
      <c r="F15" s="30"/>
      <c r="H15" s="30"/>
      <c r="I15" s="30"/>
      <c r="J15" s="30"/>
      <c r="K15" s="30"/>
      <c r="L15" s="30"/>
      <c r="M15" s="30"/>
      <c r="N15" s="30"/>
      <c r="O15" s="32"/>
      <c r="P15" s="33"/>
      <c r="Q15" s="33"/>
      <c r="R15" s="34"/>
      <c r="S15" s="35"/>
      <c r="T15" s="39"/>
      <c r="U15" s="35"/>
      <c r="V15" s="35"/>
    </row>
    <row r="16" spans="1:22" x14ac:dyDescent="0.3">
      <c r="A16" s="40"/>
    </row>
  </sheetData>
  <sheetProtection selectLockedCells="1" selectUnlockedCells="1"/>
  <mergeCells count="1">
    <mergeCell ref="H7:V7"/>
  </mergeCells>
  <dataValidations count="23">
    <dataValidation allowBlank="1" showInputMessage="1" showErrorMessage="1" prompt="Nhập Đơn vị tính." sqref="N8" xr:uid="{00000000-0002-0000-0000-000000000000}">
      <formula1>0</formula1>
      <formula2>0</formula2>
    </dataValidation>
    <dataValidation allowBlank="1" showInputMessage="1" showErrorMessage="1" prompt="Nhập Tên mặt hàng_x000a_Tối đa 255 ký tự." sqref="I8:K8" xr:uid="{00000000-0002-0000-0000-000001000000}">
      <formula1>0</formula1>
      <formula2>0</formula2>
    </dataValidation>
    <dataValidation allowBlank="1" showInputMessage="1" showErrorMessage="1" prompt="Nhập Diễn giải_x000a_Tối đa 255 ký tự." sqref="F8" xr:uid="{00000000-0002-0000-0000-000002000000}">
      <formula1>0</formula1>
      <formula2>0</formula2>
    </dataValidation>
    <dataValidation allowBlank="1" showInputMessage="1" showErrorMessage="1" prompt="Nhập Ngày chứng từ." sqref="B8" xr:uid="{00000000-0002-0000-0000-000003000000}">
      <formula1>0</formula1>
      <formula2>0</formula2>
    </dataValidation>
    <dataValidation allowBlank="1" showInputMessage="1" showErrorMessage="1" prompt="Nhập Mã hàng hóa_x000a_" sqref="H8" xr:uid="{00000000-0002-0000-0000-000004000000}">
      <formula1>0</formula1>
      <formula2>0</formula2>
    </dataValidation>
    <dataValidation allowBlank="1" showInputMessage="1" showErrorMessage="1" prompt="Chọn Hình thức thanh toán  khi nhập kho mua hàng" sqref="G8" xr:uid="{00000000-0002-0000-0000-000005000000}">
      <formula1>0</formula1>
      <formula2>0</formula2>
    </dataValidation>
    <dataValidation allowBlank="1" showInputMessage="1" showErrorMessage="1" prompt="Nhập Số lượng_x000a_Tối đa 14 ký tự." sqref="O8" xr:uid="{00000000-0002-0000-0000-000006000000}">
      <formula1>0</formula1>
      <formula2>0</formula2>
    </dataValidation>
    <dataValidation allowBlank="1" showInputMessage="1" showErrorMessage="1" prompt="Nhập Đơn giá_x000a_Tối đa 14 ký tự." sqref="P8" xr:uid="{00000000-0002-0000-0000-000007000000}">
      <formula1>0</formula1>
      <formula2>0</formula2>
    </dataValidation>
    <dataValidation allowBlank="1" showInputMessage="1" showErrorMessage="1" prompt="Nhập Thành tiền. _x000a_Hệ thống tự động tính Thành tiền = Số lượng * Đơn giá_x000a_Tối đa 14 ký tự." sqref="Q8" xr:uid="{00000000-0002-0000-0000-000008000000}">
      <formula1>0</formula1>
      <formula2>0</formula2>
    </dataValidation>
    <dataValidation allowBlank="1" showInputMessage="1" showErrorMessage="1" prompt="Nhập số chứng từ nhập kho_x000a_Tối đa 25 ký tự." sqref="C8" xr:uid="{00000000-0002-0000-0000-000009000000}">
      <formula1>0</formula1>
      <formula2>0</formula2>
    </dataValidation>
    <dataValidation allowBlank="1" showInputMessage="1" showErrorMessage="1" prompt="Nhập Mã vị trí lưu kho" sqref="M8" xr:uid="{00000000-0002-0000-0000-00000A000000}">
      <formula1>0</formula1>
      <formula2>0</formula2>
    </dataValidation>
    <dataValidation allowBlank="1" showInputMessage="1" showErrorMessage="1" prompt="Nhập Tên đối tượng._x000a_Tối đa 128 ký tự" sqref="E8" xr:uid="{00000000-0002-0000-0000-00000B000000}">
      <formula1>0</formula1>
      <formula2>0</formula2>
    </dataValidation>
    <dataValidation allowBlank="1" showInputMessage="1" showErrorMessage="1" prompt="Nhập Mã đối tượng._x000a_Nhập tối đa 50 ký tự" sqref="D8" xr:uid="{00000000-0002-0000-0000-00000C000000}">
      <formula1>0</formula1>
      <formula2>0</formula2>
    </dataValidation>
    <dataValidation operator="equal" allowBlank="1" showInputMessage="1" showErrorMessage="1" promptTitle="Lựa chọn Loại nhập kho:" prompt="- Nhập kho thành phẩm sản xuất_x000a_- Nhập kho hàng bán trả lại_x000a_- Nhập kho khác_x000a_- Hàng nhận gia công_x000a_- Nếu để trống mặc định là Nhập kho khác." sqref="A8" xr:uid="{00000000-0002-0000-0000-00000D000000}">
      <formula1>0</formula1>
    </dataValidation>
    <dataValidation type="list" operator="equal" allowBlank="1" showInputMessage="1" showErrorMessage="1" promptTitle="Lựa chọn Loại nhập kho:" prompt="- Nhập kho mua hàng_x000a_- Nhập kho khác_x000a_- Nếu để trống mặc định là Nhập kho khác." sqref="A9:A1015" xr:uid="{00000000-0002-0000-0000-00000E000000}">
      <formula1>"Nhập kho mua hàng,Nhập kho khác"</formula1>
    </dataValidation>
    <dataValidation type="list" allowBlank="1" showInputMessage="1" showErrorMessage="1" promptTitle="Chọn Hình thức thanh toán " prompt="Chọn hình thức thanh toán khi nhập kho mua hàng:_x000a_- Chưa thanh toán_x000a_- Tiền mặt_x000a_- Chuyển khoản_x000a_Để trống nếu là Nhập kho khác" sqref="G9:G1015" xr:uid="{00000000-0002-0000-0000-00000F000000}">
      <formula1>"Chưa thanh toán,Tiền mặt,Chuyển khoản"</formula1>
    </dataValidation>
    <dataValidation allowBlank="1" showInputMessage="1" showErrorMessage="1" prompt="Nhập Mã kho" sqref="L8" xr:uid="{00000000-0002-0000-0000-000010000000}">
      <formula1>0</formula1>
      <formula2>0</formula2>
    </dataValidation>
    <dataValidation type="list" allowBlank="1" showErrorMessage="1" sqref="T9:T1015" xr:uid="{00000000-0002-0000-0000-000011000000}">
      <formula1>"0%,5%,8%,10%,KCT,KKKNT"</formula1>
    </dataValidation>
    <dataValidation allowBlank="1" showInputMessage="1" showErrorMessage="1" prompt="Nhập Tiền chiết khấu. _x000a_Hệ thống tự động tính Tiền chiết khấu = Thành tiền * % chiết khấu_x000a_Tối đa 14 ký tự." sqref="S8" xr:uid="{00000000-0002-0000-0000-000012000000}">
      <formula1>0</formula1>
      <formula2>0</formula2>
    </dataValidation>
    <dataValidation allowBlank="1" showInputMessage="1" showErrorMessage="1" prompt="Nhập Tiền thuế. _x000a_Hệ thống tự động tính Tiền thuế = (Thành tiền - Tiền chiết khấu) * Thuế suất_x000a_Tối đa 14 ký tự." sqref="U8" xr:uid="{00000000-0002-0000-0000-000013000000}">
      <formula1>0</formula1>
      <formula2>0</formula2>
    </dataValidation>
    <dataValidation allowBlank="1" showInputMessage="1" showErrorMessage="1" prompt="Nhập % chiết khấu. _x000a_Tối đa 100%" sqref="R8" xr:uid="{00000000-0002-0000-0000-000014000000}">
      <formula1>0</formula1>
      <formula2>0</formula2>
    </dataValidation>
    <dataValidation allowBlank="1" showInputMessage="1" showErrorMessage="1" prompt="Chọn thuế suất trong danh sách." sqref="T8" xr:uid="{00000000-0002-0000-0000-000015000000}">
      <formula1>0</formula1>
      <formula2>0</formula2>
    </dataValidation>
    <dataValidation allowBlank="1" showInputMessage="1" showErrorMessage="1" prompt="Nhập Tiền thanh toán. _x000a_Hệ thống tự động tính Tiền thanh toán = Thành tiền - Tiền chiết khấu + Tiền thuế_x000a_Tối đa 14 ký tự." sqref="V8" xr:uid="{00000000-0002-0000-0000-000016000000}">
      <formula1>0</formula1>
      <formula2>0</formula2>
    </dataValidation>
  </dataValidations>
  <pageMargins left="0.7" right="0.7" top="0.75" bottom="0.75" header="0.51180555555555551" footer="0.51180555555555551"/>
  <pageSetup orientation="portrait" horizontalDpi="300" verticalDpi="300"/>
  <headerFooter alignWithMargins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17000000}">
          <x14:formula1>
            <xm:f>StockCodes!$A$1:$A$1</xm:f>
          </x14:formula1>
          <xm:sqref>L9:L1001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AD32C-6086-490B-9AFB-66314BED1FA4}">
  <dimension ref="A1"/>
  <sheetViews>
    <sheetView workbookViewId="0"/>
  </sheetViews>
  <sheetFormatPr defaultRowHeight="14.4" x14ac:dyDescent="0.3"/>
  <sheetData>
    <row r="1" spans="1:1" x14ac:dyDescent="0.3">
      <c r="A1" t="s">
        <v>47</v>
      </c>
    </row>
  </sheetData>
  <pageMargins left="0.75" right="0.75" top="1" bottom="1" header="0.5" footer="0.5"/>
  <pageSetup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Nhap kho</vt:lpstr>
      <vt:lpstr>StockCodes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Bùi Tanhs</cp:lastModifiedBy>
  <dcterms:modified xsi:type="dcterms:W3CDTF">2026-06-30T07:55:17Z</dcterms:modified>
  <cp:category/>
</cp:coreProperties>
</file>